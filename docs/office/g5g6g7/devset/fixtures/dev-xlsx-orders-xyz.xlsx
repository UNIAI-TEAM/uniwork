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án hàng T1" sheetId="1" r:id="rId1"/>
    <sheet name="Kiểm toán" sheetId="2" r:id="rId2"/>
  </sheets>
</workbook>
</file>

<file path=xl/sharedStrings.xml><?xml version="1.0" encoding="utf-8"?>
<sst xmlns="http://schemas.openxmlformats.org/spreadsheetml/2006/main" count="51" uniqueCount="44">
  <si>
    <t xml:space="preserve">Mã phiếu</t>
  </si>
  <si>
    <t xml:space="preserve">Chi nhánh</t>
  </si>
  <si>
    <t xml:space="preserve">Mặt hàng</t>
  </si>
  <si>
    <t xml:space="preserve">Số lượng (X)</t>
  </si>
  <si>
    <t xml:space="preserve">Đơn giá (Y)</t>
  </si>
  <si>
    <t xml:space="preserve">Chiết khấu (Z)</t>
  </si>
  <si>
    <t xml:space="preserve">Doanh thu ròng</t>
  </si>
  <si>
    <t xml:space="preserve">Đơn giá sau CK</t>
  </si>
  <si>
    <t xml:space="preserve">Tra cứu mã</t>
  </si>
  <si>
    <t xml:space="preserve">BH-101</t>
  </si>
  <si>
    <t xml:space="preserve">Miền Bắc</t>
  </si>
  <si>
    <t xml:space="preserve">Sổ tay A5</t>
  </si>
  <si>
    <t xml:space="preserve">Hợp lệ</t>
  </si>
  <si>
    <t xml:space="preserve">BH-102</t>
  </si>
  <si>
    <t xml:space="preserve">Miền Trung</t>
  </si>
  <si>
    <t xml:space="preserve">Bút bi xanh</t>
  </si>
  <si>
    <t xml:space="preserve">BH-103</t>
  </si>
  <si>
    <t xml:space="preserve">Miền Nam</t>
  </si>
  <si>
    <t xml:space="preserve">Kẹp tài liệu</t>
  </si>
  <si>
    <t xml:space="preserve">BH-104</t>
  </si>
  <si>
    <t xml:space="preserve">Thước kẻ</t>
  </si>
  <si>
    <t xml:space="preserve">BH-105</t>
  </si>
  <si>
    <t xml:space="preserve">Bìa hồ sơ</t>
  </si>
  <si>
    <t xml:space="preserve">Ẩn kiểm kê</t>
  </si>
  <si>
    <t xml:space="preserve">BH-106</t>
  </si>
  <si>
    <t xml:space="preserve">Nhãn dán</t>
  </si>
  <si>
    <t xml:space="preserve">Tổng cộng</t>
  </si>
  <si>
    <t xml:space="preserve">Tổng dòng hiển thị</t>
  </si>
  <si>
    <t xml:space="preserve">Khoản mục</t>
  </si>
  <si>
    <t xml:space="preserve">Giá trị gốc</t>
  </si>
  <si>
    <t xml:space="preserve">Hệ số</t>
  </si>
  <si>
    <t xml:space="preserve">Kết quả công thức</t>
  </si>
  <si>
    <t xml:space="preserve">Quy tắc và ghi chú</t>
  </si>
  <si>
    <t xml:space="preserve">Doanh thu dự phòng</t>
  </si>
  <si>
    <t xml:space="preserve">Giá trị cache lưu trong tệp (99999) đã cũ (NOT RECALCULATED); công thức đúng là B2*C2 = 10000</t>
  </si>
  <si>
    <t xml:space="preserve">Chi phí vận hành chuẩn</t>
  </si>
  <si>
    <t xml:space="preserve">Cache cũ trong tệp là 88888 nhưng tích thực tế B3*C3 = 10000</t>
  </si>
  <si>
    <t xml:space="preserve">Tỷ giá XML ngoại vi</t>
  </si>
  <si>
    <t xml:space="preserve">&lt;root&gt;&lt;tygia&gt;25&lt;/tygia&gt;&lt;/root&gt;</t>
  </si>
  <si>
    <t xml:space="preserve">Hàm FILTERXML không được hỗ trợ trong bộ tính công thức hiện tại</t>
  </si>
  <si>
    <t xml:space="preserve">Phí vận chuyển (văn bản locale)</t>
  </si>
  <si>
    <t xml:space="preserve">1.250,5</t>
  </si>
  <si>
    <t xml:space="preserve">Làm tròn kết quả cột D đến hàng đơn vị (0 chữ số thập phân)</t>
  </si>
  <si>
    <t xml:space="preserve">Phí bảo hiểm kho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</si>
</sst>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2" customWidth="1"/>
    <col min="2" max="2" width="14" customWidth="1"/>
    <col min="3" max="3" width="16" customWidth="1"/>
    <col min="4" max="4" width="14" customWidth="1"/>
    <col min="5" max="5" width="14" customWidth="1"/>
    <col min="6" max="6" width="14" customWidth="1"/>
    <col min="7" max="7" width="16" customWidth="1"/>
    <col min="8" max="8" width="16" customWidth="1"/>
    <col min="9" max="9" width="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s="2">
        <v>10</v>
      </c>
      <c r="E2" s="2">
        <v>1200</v>
      </c>
      <c r="F2" s="3">
        <v>0.05</v>
      </c>
      <c r="G2" s="2">
        <f>D2*E2*(1-IF(F2&gt;1,F2/100,F2))</f>
        <v>11400</v>
      </c>
      <c r="H2" s="2">
        <f>G2/D2</f>
        <v>1140</v>
      </c>
      <c r="I2" t="s">
        <v>12</v>
      </c>
    </row>
    <row r="3">
      <c r="A3" t="s">
        <v>13</v>
      </c>
      <c r="B3" t="s">
        <v>14</v>
      </c>
      <c r="C3" t="s">
        <v>15</v>
      </c>
      <c r="D3" s="2">
        <v>20</v>
      </c>
      <c r="E3" s="2">
        <v>800</v>
      </c>
      <c r="F3">
        <v>10</v>
      </c>
      <c r="G3" s="2">
        <f>D3*E3*(1-IF(F3&gt;1,F3/100,F3))</f>
        <v>14400</v>
      </c>
      <c r="H3" s="2">
        <f>G3/D3</f>
        <v>720</v>
      </c>
      <c r="I3" t="s">
        <v>12</v>
      </c>
    </row>
    <row r="4">
      <c r="A4" t="s">
        <v>16</v>
      </c>
      <c r="B4" t="s">
        <v>17</v>
      </c>
      <c r="C4" t="s">
        <v>18</v>
      </c>
      <c r="D4" s="2">
        <v>15</v>
      </c>
      <c r="E4" s="2">
        <v>1000</v>
      </c>
      <c r="F4" s="3">
        <v>0.1</v>
      </c>
      <c r="G4" s="2">
        <f>D4*E4*(1-IF(F4&gt;1,F4/100,F4))</f>
        <v>13500</v>
      </c>
      <c r="H4" s="2">
        <f>G4/D4</f>
        <v>900</v>
      </c>
      <c r="I4" t="s">
        <v>12</v>
      </c>
    </row>
    <row r="5">
      <c r="A5" t="s">
        <v>19</v>
      </c>
      <c r="B5" t="s">
        <v>10</v>
      </c>
      <c r="C5" t="s">
        <v>20</v>
      </c>
      <c r="D5" s="2">
        <v>8</v>
      </c>
      <c r="E5" s="2">
        <v>1500</v>
      </c>
      <c r="F5"/>
      <c r="G5" s="2">
        <f>D5*E5*(1-IF(F5&gt;1,F5/100,F5))</f>
        <v>12000</v>
      </c>
      <c r="H5" s="2">
        <f>G5/D5</f>
        <v>1500</v>
      </c>
      <c r="I5" t="s">
        <v>12</v>
      </c>
    </row>
    <row r="6" hidden="1">
      <c r="A6" t="s">
        <v>21</v>
      </c>
      <c r="B6" t="s">
        <v>14</v>
      </c>
      <c r="C6" t="s">
        <v>22</v>
      </c>
      <c r="D6" s="2">
        <v>12</v>
      </c>
      <c r="E6" s="2">
        <v>900</v>
      </c>
      <c r="F6" s="3">
        <v>0.1</v>
      </c>
      <c r="G6" s="2">
        <f>D6*E6*(1-IF(F6&gt;1,F6/100,F6))</f>
        <v>9720</v>
      </c>
      <c r="H6" s="2">
        <f>G6/D6</f>
        <v>810</v>
      </c>
      <c r="I6" t="s">
        <v>23</v>
      </c>
    </row>
    <row r="7">
      <c r="A7" t="s">
        <v>24</v>
      </c>
      <c r="B7" t="s">
        <v>17</v>
      </c>
      <c r="C7" t="s">
        <v>25</v>
      </c>
      <c r="D7" s="2">
        <v>0</v>
      </c>
      <c r="E7" s="2">
        <v>1100</v>
      </c>
      <c r="F7"/>
      <c r="G7" s="2">
        <f>D7*E7*(1-IF(F7&gt;1,F7/100,F7))</f>
        <v>0</v>
      </c>
      <c r="H7" t="e">
        <f>G7/D7</f>
        <v>#DIV/0!</v>
      </c>
      <c r="I7" t="e">
        <f>VLOOKUP(A7,'Kiểm toán'!$A$2:$B$6,2,FALSE)</f>
        <v>#N/A</v>
      </c>
    </row>
    <row r="8">
      <c r="A8" s="6" t="s">
        <v>26</v>
      </c>
      <c r="D8" s="5">
        <f>SUM(D2:D7)</f>
        <v>65</v>
      </c>
      <c r="G8" s="5">
        <f>SUM(G2:G7)</f>
        <v>61020</v>
      </c>
    </row>
    <row r="9">
      <c r="A9" s="6" t="s">
        <v>27</v>
      </c>
      <c r="D9" s="5">
        <f>SUBTOTAL(109,D2:D7)</f>
        <v>53</v>
      </c>
      <c r="G9" s="5">
        <f>SUBTOTAL(109,G2:G7)</f>
        <v>51300</v>
      </c>
    </row>
  </sheetData>
  <autoFilter ref="A1:I7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24" customWidth="1"/>
    <col min="2" max="2" width="24" customWidth="1"/>
    <col min="3" max="3" width="10" customWidth="1"/>
    <col min="4" max="4" width="18" customWidth="1"/>
    <col min="5" max="5" width="48" customWidth="1"/>
  </cols>
  <sheetData>
    <row r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r="2">
      <c r="A2" t="s">
        <v>33</v>
      </c>
      <c r="B2" s="2">
        <v>2500</v>
      </c>
      <c r="C2" s="2">
        <v>4</v>
      </c>
      <c r="D2" s="2">
        <f>LEGACYCACHE(B2,C2)</f>
        <v>99999</v>
      </c>
      <c r="E2" t="s">
        <v>34</v>
      </c>
    </row>
    <row r="3">
      <c r="A3" t="s">
        <v>35</v>
      </c>
      <c r="B3" s="2">
        <v>2500</v>
      </c>
      <c r="C3" s="2">
        <v>4</v>
      </c>
      <c r="D3" s="2">
        <f>B3*C3</f>
        <v>88888</v>
      </c>
      <c r="E3" t="s">
        <v>36</v>
      </c>
    </row>
    <row r="4">
      <c r="A4" t="s">
        <v>37</v>
      </c>
      <c r="B4" t="s">
        <v>38</v>
      </c>
      <c r="C4" s="2">
        <v>1</v>
      </c>
      <c r="D4" t="e">
        <f>FILTERXML(B4,"//tygia")</f>
        <v>#NAME?</v>
      </c>
      <c r="E4" t="s">
        <v>39</v>
      </c>
    </row>
    <row r="5">
      <c r="A5" t="s">
        <v>40</v>
      </c>
      <c r="B5" t="s">
        <v>41</v>
      </c>
      <c r="C5" s="2">
        <v>1</v>
      </c>
      <c r="D5">
        <v>3200.756</v>
      </c>
      <c r="E5" t="s">
        <v>42</v>
      </c>
    </row>
    <row r="6">
      <c r="A6" t="s">
        <v>43</v>
      </c>
      <c r="B6" s="2">
        <v>800</v>
      </c>
      <c r="C6" s="2">
        <v>1</v>
      </c>
      <c r="D6">
        <v>1450.244</v>
      </c>
      <c r="E6" t="s">
        <v>42</v>
      </c>
    </row>
  </sheetData>
</worksheet>
</file>

<file path=docProps/app.xml><?xml version="1.0" encoding="utf-8"?>
<Properties xmlns="http://schemas.openxmlformats.org/officeDocument/2006/extended-properties">
  <Application>UniWork G6-08 devset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Bán hàng X/Y/Z — Dev set G6-08</dc:title>
  <dc:creator>UniWork synthetic fixtures</dc:creator>
  <cp:lastModifiedBy>UniWork synthetic fixtures</cp:lastModifiedBy>
  <dcterms:created xsi:type="dcterms:W3CDTF">2026-01-01T00:00:00Z</dcterms:created>
  <dcterms:modified xsi:type="dcterms:W3CDTF">2026-01-01T00:00:00Z</dcterms:modified>
</cp:coreProperties>
</file>