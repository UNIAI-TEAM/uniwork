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Doanh thu Q1" sheetId="1" r:id="rId1"/>
    <sheet name="Doanh thu Q2" sheetId="2" r:id="rId2"/>
    <sheet name="Tổng hợp" sheetId="3" r:id="rId3"/>
    <sheet name="Ghi chú" sheetId="4" r:id="rId4"/>
  </sheets>
</workbook>
</file>

<file path=xl/sharedStrings.xml><?xml version="1.0" encoding="utf-8"?>
<sst xmlns="http://schemas.openxmlformats.org/spreadsheetml/2006/main" count="70" uniqueCount="40">
  <si>
    <t xml:space="preserve">Mã đơn</t>
  </si>
  <si>
    <t xml:space="preserve">Khu vực</t>
  </si>
  <si>
    <t xml:space="preserve">Sản phẩm</t>
  </si>
  <si>
    <t xml:space="preserve">Số lượng (X)</t>
  </si>
  <si>
    <t xml:space="preserve">Đơn giá (Y, đồng)</t>
  </si>
  <si>
    <t xml:space="preserve">Giảm giá (Z)</t>
  </si>
  <si>
    <t xml:space="preserve">Doanh thu (đồng)</t>
  </si>
  <si>
    <t xml:space="preserve">Q1-001</t>
  </si>
  <si>
    <t xml:space="preserve">Bắc</t>
  </si>
  <si>
    <t xml:space="preserve">Áo thun</t>
  </si>
  <si>
    <t xml:space="preserve">Q1-002</t>
  </si>
  <si>
    <t xml:space="preserve">Quần jeans</t>
  </si>
  <si>
    <t xml:space="preserve">Q1-003</t>
  </si>
  <si>
    <t xml:space="preserve">Nam</t>
  </si>
  <si>
    <t xml:space="preserve">Q1-004</t>
  </si>
  <si>
    <t xml:space="preserve">Q1-005</t>
  </si>
  <si>
    <t xml:space="preserve">Trung</t>
  </si>
  <si>
    <t xml:space="preserve">Mũ lưỡi trai</t>
  </si>
  <si>
    <t xml:space="preserve">Q1-006</t>
  </si>
  <si>
    <t xml:space="preserve">Tổng</t>
  </si>
  <si>
    <t xml:space="preserve">Tổng (không tính dòng ẩn)</t>
  </si>
  <si>
    <t xml:space="preserve">Đơn giá bình quân</t>
  </si>
  <si>
    <t xml:space="preserve">Đối chiếu Q1</t>
  </si>
  <si>
    <t xml:space="preserve">Q2-001</t>
  </si>
  <si>
    <t xml:space="preserve">Q2-002</t>
  </si>
  <si>
    <t xml:space="preserve">Q2-003</t>
  </si>
  <si>
    <t xml:space="preserve">Q2-004</t>
  </si>
  <si>
    <t xml:space="preserve">Q2-005</t>
  </si>
  <si>
    <t xml:space="preserve">Doanh thu Q1</t>
  </si>
  <si>
    <t xml:space="preserve">Doanh thu Q2</t>
  </si>
  <si>
    <t xml:space="preserve">Tỷ trọng</t>
  </si>
  <si>
    <t xml:space="preserve">Tổng cộng</t>
  </si>
  <si>
    <t xml:space="preserve">Tham chiếu hỏng</t>
  </si>
  <si>
    <t xml:space="preserve">Ghi chú về workbook mẫu</t>
  </si>
  <si>
    <t xml:space="preserve">Dữ liệu tổng hợp để kiểm thử, không phải dữ liệu khách hàng.</t>
  </si>
  <si>
    <t xml:space="preserve">Cột X là số lượng, cột Y là đơn giá (đồng), cột Z là giảm giá.</t>
  </si>
  <si>
    <t xml:space="preserve">Giảm giá (Z) được nhập theo hai cách: số 10 (nghĩa là 10 phần trăm) và 10% (giá trị 0,1 định dạng phần trăm).</t>
  </si>
  <si>
    <t xml:space="preserve">Ô giảm giá để trống nghĩa là không giảm giá.</t>
  </si>
  <si>
    <t xml:space="preserve">Dòng ẩn: Q1-005 trong Doanh thu Q1 và Q2-005 trong Doanh thu Q2.</t>
  </si>
  <si>
    <t xml:space="preserve">Một số ô cố ý chứa lỗi: #DIV/0!, #N/A và #REF!.</t>
  </si>
</sst>
</file>

<file path=xl/styles.xml><?xml version="1.0" encoding="utf-8"?>
<styleSheet xmlns="http://schemas.openxmlformats.org/spreadsheetml/2006/main">
  <numFmts count="1">
    <numFmt numFmtId="164" formatCode="0.0%"/>
  </numFmts>
  <fonts count="2">
    <font>
      <sz val="11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3" fontId="1" fillId="0" borderId="0" xfId="0" applyNumberFormat="1" applyFont="1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cols>
    <col min="1" max="1" width="10" customWidth="1"/>
    <col min="2" max="2" width="10" customWidth="1"/>
    <col min="3" max="3" width="16" customWidth="1"/>
    <col min="4" max="4" width="14" customWidth="1"/>
    <col min="5" max="5" width="18" customWidth="1"/>
    <col min="6" max="6" width="14" customWidth="1"/>
    <col min="7" max="7" width="18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t="s">
        <v>7</v>
      </c>
      <c r="B2" t="s">
        <v>8</v>
      </c>
      <c r="C2" t="s">
        <v>9</v>
      </c>
      <c r="D2" s="2">
        <v>100</v>
      </c>
      <c r="E2" s="2">
        <v>50000</v>
      </c>
      <c r="F2" s="3">
        <v>0.1</v>
      </c>
      <c r="G2" s="2">
        <f>D2*E2*(1-IF(F2&gt;1,F2/100,F2))</f>
        <v>4500000</v>
      </c>
    </row>
    <row r="3">
      <c r="A3" t="s">
        <v>10</v>
      </c>
      <c r="B3" t="s">
        <v>8</v>
      </c>
      <c r="C3" t="s">
        <v>11</v>
      </c>
      <c r="D3" s="2">
        <v>40</v>
      </c>
      <c r="E3" s="2">
        <v>120000</v>
      </c>
      <c r="F3" s="3">
        <v>0.05</v>
      </c>
      <c r="G3" s="2">
        <f>D3*E3*(1-IF(F3&gt;1,F3/100,F3))</f>
        <v>4560000</v>
      </c>
    </row>
    <row r="4">
      <c r="A4" t="s">
        <v>12</v>
      </c>
      <c r="B4" t="s">
        <v>13</v>
      </c>
      <c r="C4" t="s">
        <v>9</v>
      </c>
      <c r="D4" s="2">
        <v>80</v>
      </c>
      <c r="E4" s="2">
        <v>50000</v>
      </c>
      <c r="F4">
        <v>10</v>
      </c>
      <c r="G4" s="2">
        <f>D4*E4*(1-IF(F4&gt;1,F4/100,F4))</f>
        <v>3600000</v>
      </c>
    </row>
    <row r="5">
      <c r="A5" t="s">
        <v>14</v>
      </c>
      <c r="B5" t="s">
        <v>13</v>
      </c>
      <c r="C5" t="s">
        <v>11</v>
      </c>
      <c r="D5" s="2">
        <v>30</v>
      </c>
      <c r="E5" s="2">
        <v>120000</v>
      </c>
      <c r="F5"/>
      <c r="G5" s="2">
        <f>D5*E5*(1-IF(F5&gt;1,F5/100,F5))</f>
        <v>3600000</v>
      </c>
    </row>
    <row r="6" hidden="1">
      <c r="A6" t="s">
        <v>15</v>
      </c>
      <c r="B6" t="s">
        <v>16</v>
      </c>
      <c r="C6" t="s">
        <v>17</v>
      </c>
      <c r="D6" s="2">
        <v>200</v>
      </c>
      <c r="E6" s="2">
        <v>20000</v>
      </c>
      <c r="F6" s="3">
        <v>0.15</v>
      </c>
      <c r="G6" s="2">
        <f>D6*E6*(1-IF(F6&gt;1,F6/100,F6))</f>
        <v>3400000</v>
      </c>
    </row>
    <row r="7">
      <c r="A7" t="s">
        <v>18</v>
      </c>
      <c r="B7" t="s">
        <v>16</v>
      </c>
      <c r="C7" t="s">
        <v>11</v>
      </c>
      <c r="D7" s="2">
        <v>25</v>
      </c>
      <c r="E7" s="2">
        <v>120000</v>
      </c>
      <c r="F7" s="3">
        <v>0.2</v>
      </c>
      <c r="G7" s="2">
        <f>D7*E7*(1-IF(F7&gt;1,F7/100,F7))</f>
        <v>2400000</v>
      </c>
    </row>
    <row r="8">
      <c r="A8" s="6" t="s">
        <v>19</v>
      </c>
      <c r="D8" s="5">
        <f>SUM(D2:D7)</f>
        <v>475</v>
      </c>
      <c r="G8" s="5">
        <f>SUM(G2:G7)</f>
        <v>22060000</v>
      </c>
    </row>
    <row r="9">
      <c r="A9" s="6" t="s">
        <v>20</v>
      </c>
      <c r="D9" s="5">
        <f>SUBTOTAL(109,D2:D7)</f>
        <v>275</v>
      </c>
      <c r="G9" s="5">
        <f>SUBTOTAL(109,G2:G7)</f>
        <v>18660000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I8"/>
  <sheetViews>
    <sheetView workbookViewId="0"/>
  </sheetViews>
  <sheetFormatPr defaultRowHeight="15"/>
  <cols>
    <col min="1" max="1" width="10" customWidth="1"/>
    <col min="2" max="2" width="10" customWidth="1"/>
    <col min="3" max="3" width="16" customWidth="1"/>
    <col min="4" max="4" width="14" customWidth="1"/>
    <col min="5" max="5" width="18" customWidth="1"/>
    <col min="6" max="6" width="14" customWidth="1"/>
    <col min="7" max="7" width="18" customWidth="1"/>
    <col min="8" max="8" width="18" customWidth="1"/>
    <col min="9" max="9" width="1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21</v>
      </c>
      <c r="I1" s="1" t="s">
        <v>22</v>
      </c>
    </row>
    <row r="2">
      <c r="A2" t="s">
        <v>23</v>
      </c>
      <c r="B2" t="s">
        <v>8</v>
      </c>
      <c r="C2" t="s">
        <v>9</v>
      </c>
      <c r="D2" s="2">
        <v>120</v>
      </c>
      <c r="E2" s="2">
        <v>50000</v>
      </c>
      <c r="F2" s="3">
        <v>0.1</v>
      </c>
      <c r="G2" s="2">
        <f>D2*E2*(1-IF(F2&gt;1,F2/100,F2))</f>
        <v>5400000</v>
      </c>
      <c r="H2" s="2">
        <f>G2/D2</f>
        <v>45000</v>
      </c>
      <c r="I2" t="e">
        <f>VLOOKUP(A2,'Doanh thu Q1'!$A$2:$G$7,7,FALSE)</f>
        <v>#N/A</v>
      </c>
    </row>
    <row r="3">
      <c r="A3" t="s">
        <v>24</v>
      </c>
      <c r="B3" t="s">
        <v>8</v>
      </c>
      <c r="C3" t="s">
        <v>11</v>
      </c>
      <c r="D3" s="2">
        <v>50</v>
      </c>
      <c r="E3" s="2">
        <v>120000</v>
      </c>
      <c r="F3" s="3">
        <v>0.05</v>
      </c>
      <c r="G3" s="2">
        <f>D3*E3*(1-IF(F3&gt;1,F3/100,F3))</f>
        <v>5700000</v>
      </c>
      <c r="H3" s="2">
        <f>G3/D3</f>
        <v>114000</v>
      </c>
    </row>
    <row r="4">
      <c r="A4" t="s">
        <v>25</v>
      </c>
      <c r="B4" t="s">
        <v>13</v>
      </c>
      <c r="C4" t="s">
        <v>9</v>
      </c>
      <c r="D4" s="2">
        <v>90</v>
      </c>
      <c r="E4" s="2">
        <v>50000</v>
      </c>
      <c r="F4">
        <v>10</v>
      </c>
      <c r="G4" s="2">
        <f>D4*E4*(1-IF(F4&gt;1,F4/100,F4))</f>
        <v>4050000</v>
      </c>
      <c r="H4" s="2">
        <f>G4/D4</f>
        <v>45000</v>
      </c>
    </row>
    <row r="5">
      <c r="A5" t="s">
        <v>26</v>
      </c>
      <c r="B5" t="s">
        <v>16</v>
      </c>
      <c r="C5" t="s">
        <v>17</v>
      </c>
      <c r="D5" s="2">
        <v>0</v>
      </c>
      <c r="E5" s="2">
        <v>20000</v>
      </c>
      <c r="F5"/>
      <c r="G5" s="2">
        <f>D5*E5*(1-IF(F5&gt;1,F5/100,F5))</f>
        <v>0</v>
      </c>
      <c r="H5" t="e">
        <f>G5/D5</f>
        <v>#DIV/0!</v>
      </c>
    </row>
    <row r="6" hidden="1">
      <c r="A6" t="s">
        <v>27</v>
      </c>
      <c r="B6" t="s">
        <v>16</v>
      </c>
      <c r="C6" t="s">
        <v>11</v>
      </c>
      <c r="D6" s="2">
        <v>35</v>
      </c>
      <c r="E6" s="2">
        <v>120000</v>
      </c>
      <c r="F6" s="3">
        <v>0.2</v>
      </c>
      <c r="G6" s="2">
        <f>D6*E6*(1-IF(F6&gt;1,F6/100,F6))</f>
        <v>3360000</v>
      </c>
      <c r="H6" s="2">
        <f>G6/D6</f>
        <v>96000</v>
      </c>
    </row>
    <row r="7">
      <c r="A7" s="6" t="s">
        <v>19</v>
      </c>
      <c r="D7" s="5">
        <f>SUM(D2:D6)</f>
        <v>295</v>
      </c>
      <c r="G7" s="5">
        <f>SUM(G2:G6)</f>
        <v>18510000</v>
      </c>
    </row>
    <row r="8">
      <c r="A8" s="6" t="s">
        <v>20</v>
      </c>
      <c r="D8" s="5">
        <f>SUBTOTAL(109,D2:D6)</f>
        <v>260</v>
      </c>
      <c r="G8" s="5">
        <f>SUBTOTAL(109,G2:G6)</f>
        <v>15150000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cols>
    <col min="1" max="1" width="18" customWidth="1"/>
    <col min="2" max="2" width="16" customWidth="1"/>
    <col min="3" max="3" width="16" customWidth="1"/>
    <col min="4" max="4" width="16" customWidth="1"/>
    <col min="5" max="5" width="12" customWidth="1"/>
  </cols>
  <sheetData>
    <row r="1">
      <c r="A1" s="1" t="s">
        <v>1</v>
      </c>
      <c r="B1" s="1" t="s">
        <v>28</v>
      </c>
      <c r="C1" s="1" t="s">
        <v>29</v>
      </c>
      <c r="D1" s="1" t="s">
        <v>19</v>
      </c>
      <c r="E1" s="1" t="s">
        <v>30</v>
      </c>
    </row>
    <row r="2">
      <c r="A2" t="s">
        <v>8</v>
      </c>
      <c r="B2" s="2">
        <f>SUMIF('Doanh thu Q1'!$B$2:$B$7,$A2,'Doanh thu Q1'!$G$2:$G$7)</f>
        <v>9060000</v>
      </c>
      <c r="C2" s="2">
        <f>SUMIF('Doanh thu Q2'!$B$2:$B$6,$A2,'Doanh thu Q2'!$G$2:$G$6)</f>
        <v>11100000</v>
      </c>
      <c r="D2" s="2">
        <f>B2+C2</f>
        <v>20160000</v>
      </c>
      <c r="E2" s="4">
        <f>D2/$D$5</f>
        <v>0.4969189055952674</v>
      </c>
    </row>
    <row r="3">
      <c r="A3" t="s">
        <v>13</v>
      </c>
      <c r="B3" s="2">
        <f>SUMIF('Doanh thu Q1'!$B$2:$B$7,$A3,'Doanh thu Q1'!$G$2:$G$7)</f>
        <v>7200000</v>
      </c>
      <c r="C3" s="2">
        <f>SUMIF('Doanh thu Q2'!$B$2:$B$6,$A3,'Doanh thu Q2'!$G$2:$G$6)</f>
        <v>4050000</v>
      </c>
      <c r="D3" s="2">
        <f>B3+C3</f>
        <v>11250000</v>
      </c>
      <c r="E3" s="4">
        <f>D3/$D$5</f>
        <v>0.27729849642593046</v>
      </c>
    </row>
    <row r="4">
      <c r="A4" t="s">
        <v>16</v>
      </c>
      <c r="B4" s="2">
        <f>SUMIF('Doanh thu Q1'!$B$2:$B$7,$A4,'Doanh thu Q1'!$G$2:$G$7)</f>
        <v>5800000</v>
      </c>
      <c r="C4" s="2">
        <f>SUMIF('Doanh thu Q2'!$B$2:$B$6,$A4,'Doanh thu Q2'!$G$2:$G$6)</f>
        <v>3360000</v>
      </c>
      <c r="D4" s="2">
        <f>B4+C4</f>
        <v>9160000</v>
      </c>
      <c r="E4" s="4">
        <f>D4/$D$5</f>
        <v>0.22578259797880207</v>
      </c>
    </row>
    <row r="5">
      <c r="A5" s="6" t="s">
        <v>31</v>
      </c>
      <c r="B5" s="5">
        <f>SUM(B2:B4)</f>
        <v>22060000</v>
      </c>
      <c r="C5" s="5">
        <f>SUM(C2:C4)</f>
        <v>18510000</v>
      </c>
      <c r="D5" s="5">
        <f>SUM(D2:D4)</f>
        <v>40570000</v>
      </c>
      <c r="E5" s="4">
        <f>SUM(E2:E4)</f>
        <v>1</v>
      </c>
    </row>
    <row r="6"/>
    <row r="7">
      <c r="A7" t="s">
        <v>32</v>
      </c>
      <c r="B7" t="e">
        <f>#REF!</f>
        <v>#REF!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A7"/>
  <sheetViews>
    <sheetView workbookViewId="0"/>
  </sheetViews>
  <sheetFormatPr defaultRowHeight="15"/>
  <cols>
    <col min="1" max="1" width="100" customWidth="1"/>
  </cols>
  <sheetData>
    <row r="1">
      <c r="A1" s="6" t="s">
        <v>33</v>
      </c>
    </row>
    <row r="2">
      <c r="A2" t="s">
        <v>34</v>
      </c>
    </row>
    <row r="3">
      <c r="A3" t="s">
        <v>35</v>
      </c>
    </row>
    <row r="4">
      <c r="A4" t="s">
        <v>36</v>
      </c>
    </row>
    <row r="5">
      <c r="A5" t="s">
        <v>37</v>
      </c>
    </row>
    <row r="6">
      <c r="A6" t="s">
        <v>38</v>
      </c>
    </row>
    <row r="7">
      <c r="A7" t="s">
        <v>39</v>
      </c>
    </row>
  </sheetData>
</worksheet>
</file>

<file path=docProps/app.xml><?xml version="1.0" encoding="utf-8"?>
<Properties xmlns="http://schemas.openxmlformats.org/officeDocument/2006/extended-properties">
  <Application>UniWork fixture generator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Doanh thu X/Y/Z (dữ liệu mẫu)</dc:title>
  <dc:creator>UniWork synthetic fixtures</dc:creator>
  <cp:lastModifiedBy>UniWork synthetic fixtures</cp:lastModifiedBy>
  <dcterms:created xsi:type="dcterms:W3CDTF">2026-01-01T00:00:00Z</dcterms:created>
  <dcterms:modified xsi:type="dcterms:W3CDTF">2026-01-01T00:00:00Z</dcterms:modified>
</cp:coreProperties>
</file>